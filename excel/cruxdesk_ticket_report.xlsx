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hidePivotFieldList="1" defaultThemeVersion="166925"/>
  <xr:revisionPtr revIDLastSave="0" documentId="8_{2018EDF9-2C30-42B9-ABD6-3E7CC0F463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mmary" sheetId="3" r:id="rId1"/>
    <sheet name="Tickets" sheetId="1" r:id="rId2"/>
    <sheet name="Clients" sheetId="2" r:id="rId3"/>
  </sheets>
  <calcPr calcId="191028"/>
  <pivotCaches>
    <pivotCache cacheId="3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</calcChain>
</file>

<file path=xl/sharedStrings.xml><?xml version="1.0" encoding="utf-8"?>
<sst xmlns="http://schemas.openxmlformats.org/spreadsheetml/2006/main" count="265" uniqueCount="64">
  <si>
    <t>category</t>
  </si>
  <si>
    <t>Count of ticket_id</t>
  </si>
  <si>
    <t>Average of resolution_hours</t>
  </si>
  <si>
    <t>Billing</t>
  </si>
  <si>
    <t>Email Delivery</t>
  </si>
  <si>
    <t>Integration Sync</t>
  </si>
  <si>
    <t>Login</t>
  </si>
  <si>
    <t>Scheduling</t>
  </si>
  <si>
    <t>SMS Delivery</t>
  </si>
  <si>
    <t>Grand Total</t>
  </si>
  <si>
    <t>ticket_id</t>
  </si>
  <si>
    <t>client_id</t>
  </si>
  <si>
    <t>priority</t>
  </si>
  <si>
    <t>status</t>
  </si>
  <si>
    <t>created_at</t>
  </si>
  <si>
    <t>resolved_at</t>
  </si>
  <si>
    <t>resolution_hours</t>
  </si>
  <si>
    <t>client_name</t>
  </si>
  <si>
    <t>plan_tier</t>
  </si>
  <si>
    <t>High</t>
  </si>
  <si>
    <t>Solved</t>
  </si>
  <si>
    <t>Urgent</t>
  </si>
  <si>
    <t>Normal</t>
  </si>
  <si>
    <t>Pending</t>
  </si>
  <si>
    <t>NULL</t>
  </si>
  <si>
    <t>Open</t>
  </si>
  <si>
    <t>Low</t>
  </si>
  <si>
    <t>name</t>
  </si>
  <si>
    <t>signup_date</t>
  </si>
  <si>
    <t>Summit Bouldering</t>
  </si>
  <si>
    <t>Pro</t>
  </si>
  <si>
    <t>Active</t>
  </si>
  <si>
    <t>Granite Hall Climbing</t>
  </si>
  <si>
    <t>Growth</t>
  </si>
  <si>
    <t>Crimp City Gym</t>
  </si>
  <si>
    <t>Starter</t>
  </si>
  <si>
    <t>Overhang Collective</t>
  </si>
  <si>
    <t>Chalk Up Fontana</t>
  </si>
  <si>
    <t>Redpoint Climbing Center</t>
  </si>
  <si>
    <t>Dyno Den</t>
  </si>
  <si>
    <t>Trial</t>
  </si>
  <si>
    <t>Sloper Station</t>
  </si>
  <si>
    <t>The Arete Gym</t>
  </si>
  <si>
    <t>Churned</t>
  </si>
  <si>
    <t>Basecamp Boulders</t>
  </si>
  <si>
    <t>Jug Haus</t>
  </si>
  <si>
    <t>Topout Climbing</t>
  </si>
  <si>
    <t>Crux Factory</t>
  </si>
  <si>
    <t>Flash Point Bouldering</t>
  </si>
  <si>
    <t>Highball Hangar</t>
  </si>
  <si>
    <t>Pinch Point Climbing</t>
  </si>
  <si>
    <t>Send Shed</t>
  </si>
  <si>
    <t>Vertical Union</t>
  </si>
  <si>
    <t>Mantle Mill</t>
  </si>
  <si>
    <t>Beta Spray Bouldering</t>
  </si>
  <si>
    <t>Campus Board Co</t>
  </si>
  <si>
    <t>Gneiss Climbing</t>
  </si>
  <si>
    <t>Smear Club</t>
  </si>
  <si>
    <t>Rope Gun Climbing</t>
  </si>
  <si>
    <t>Heel Hook Hall</t>
  </si>
  <si>
    <t>Kneebar Bouldering</t>
  </si>
  <si>
    <t>Undercling Gym</t>
  </si>
  <si>
    <t>Peak Pursuit Climbing</t>
  </si>
  <si>
    <t>Bolt Line Bouldering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</si>
</sst>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9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[CruxDesk Ticket Report.xlsx]Summary!PivotTable1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Volume and Avg Resolution Hours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Count of ticket_id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Summary!$A$4:$A$10</c:f>
              <c:strCache>
                <c:ptCount val="6"/>
                <c:pt idx="0">
                  <c:v>Billing</c:v>
                </c:pt>
                <c:pt idx="1">
                  <c:v>Email Delivery</c:v>
                </c:pt>
                <c:pt idx="2">
                  <c:v>Integration Sync</c:v>
                </c:pt>
                <c:pt idx="3">
                  <c:v>Login</c:v>
                </c:pt>
                <c:pt idx="4">
                  <c:v>Scheduling</c:v>
                </c:pt>
                <c:pt idx="5">
                  <c:v>SMS Delivery</c:v>
                </c:pt>
              </c:strCache>
            </c:strRef>
          </c:cat>
          <c:val>
            <c:numRef>
              <c:f>Summary!$B$4:$B$10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B-4285-8471-F492F343EB05}"/>
            </c:ext>
          </c:extLst>
        </c:ser>
        <c:ser>
          <c:idx val="1"/>
          <c:order val="1"/>
          <c:tx>
            <c:strRef>
              <c:f>Summary!$C$3</c:f>
              <c:strCache>
                <c:ptCount val="1"/>
                <c:pt idx="0">
                  <c:v>Average of resolution_hours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Summary!$A$4:$A$10</c:f>
              <c:strCache>
                <c:ptCount val="6"/>
                <c:pt idx="0">
                  <c:v>Billing</c:v>
                </c:pt>
                <c:pt idx="1">
                  <c:v>Email Delivery</c:v>
                </c:pt>
                <c:pt idx="2">
                  <c:v>Integration Sync</c:v>
                </c:pt>
                <c:pt idx="3">
                  <c:v>Login</c:v>
                </c:pt>
                <c:pt idx="4">
                  <c:v>Scheduling</c:v>
                </c:pt>
                <c:pt idx="5">
                  <c:v>SMS Delivery</c:v>
                </c:pt>
              </c:strCache>
            </c:strRef>
          </c:cat>
          <c:val>
            <c:numRef>
              <c:f>Summary!$C$4:$C$10</c:f>
              <c:numCache>
                <c:formatCode>0.00</c:formatCode>
                <c:ptCount val="6"/>
                <c:pt idx="0">
                  <c:v>37.666666666666664</c:v>
                </c:pt>
                <c:pt idx="1">
                  <c:v>20.5</c:v>
                </c:pt>
                <c:pt idx="2">
                  <c:v>39.5</c:v>
                </c:pt>
                <c:pt idx="3">
                  <c:v>4.2857142857142856</c:v>
                </c:pt>
                <c:pt idx="4">
                  <c:v>45.2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1B-4285-8471-F492F343E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6638983"/>
        <c:axId val="1056645127"/>
      </c:barChart>
      <c:catAx>
        <c:axId val="1056638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645127"/>
        <c:crosses val="autoZero"/>
        <c:auto val="1"/>
        <c:lblAlgn val="ctr"/>
        <c:lblOffset val="100"/>
        <c:noMultiLvlLbl val="0"/>
      </c:catAx>
      <c:valAx>
        <c:axId val="1056645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63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10</xdr:row>
      <xdr:rowOff>76200</xdr:rowOff>
    </xdr:from>
    <xdr:to>
      <xdr:col>11</xdr:col>
      <xdr:colOff>409575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AC157-C555-95A3-4BD1-7569DC60A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2.453049768519" createdVersion="8" refreshedVersion="8" minRefreshableVersion="3" recordCount="46" xr:uid="{A9CC0CB9-A375-40B7-ABFF-CAC6DAA86195}">
  <cacheSource type="worksheet">
    <worksheetSource name="tblTickets"/>
  </cacheSource>
  <cacheFields count="10">
    <cacheField name="ticket_id" numFmtId="0">
      <sharedItems containsSemiMixedTypes="0" containsString="0" containsNumber="1" containsInteger="1" minValue="1001" maxValue="1046"/>
    </cacheField>
    <cacheField name="client_id" numFmtId="0">
      <sharedItems containsSemiMixedTypes="0" containsString="0" containsNumber="1" containsInteger="1" minValue="1" maxValue="29"/>
    </cacheField>
    <cacheField name="category" numFmtId="0">
      <sharedItems count="6">
        <s v="SMS Delivery"/>
        <s v="Integration Sync"/>
        <s v="Login"/>
        <s v="Billing"/>
        <s v="Email Delivery"/>
        <s v="Scheduling"/>
      </sharedItems>
    </cacheField>
    <cacheField name="priority" numFmtId="0">
      <sharedItems/>
    </cacheField>
    <cacheField name="status" numFmtId="0">
      <sharedItems/>
    </cacheField>
    <cacheField name="created_at" numFmtId="22">
      <sharedItems containsSemiMixedTypes="0" containsNonDate="0" containsDate="1" containsString="0" minDate="2026-05-07T22:28:15" maxDate="2026-10-21T14:29:16"/>
    </cacheField>
    <cacheField name="resolved_at" numFmtId="0">
      <sharedItems containsDate="1" containsMixedTypes="1" minDate="2026-05-08T08:28:15" maxDate="2026-10-12T02:28:15"/>
    </cacheField>
    <cacheField name="resolution_hours" numFmtId="0">
      <sharedItems containsMixedTypes="1" containsNumber="1" containsInteger="1" minValue="2" maxValue="96"/>
    </cacheField>
    <cacheField name="client_name" numFmtId="0">
      <sharedItems/>
    </cacheField>
    <cacheField name="plan_tier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1001"/>
    <n v="6"/>
    <x v="0"/>
    <s v="High"/>
    <s v="Solved"/>
    <d v="2026-09-26T14:28:15"/>
    <d v="2026-09-27T10:28:15"/>
    <n v="20"/>
    <s v="Redpoint Climbing Center"/>
    <s v="Pro"/>
  </r>
  <r>
    <n v="1002"/>
    <n v="6"/>
    <x v="1"/>
    <s v="Urgent"/>
    <s v="Solved"/>
    <d v="2026-10-04T22:28:15"/>
    <d v="2026-10-05T04:28:15"/>
    <n v="6"/>
    <s v="Redpoint Climbing Center"/>
    <s v="Pro"/>
  </r>
  <r>
    <n v="1003"/>
    <n v="6"/>
    <x v="2"/>
    <s v="Normal"/>
    <s v="Pending"/>
    <d v="2026-10-15T08:28:15"/>
    <s v="NULL"/>
    <s v=""/>
    <s v="Redpoint Climbing Center"/>
    <s v="Pro"/>
  </r>
  <r>
    <n v="1004"/>
    <n v="6"/>
    <x v="3"/>
    <s v="High"/>
    <s v="Open"/>
    <d v="2026-10-20T08:28:15"/>
    <s v="NULL"/>
    <s v=""/>
    <s v="Redpoint Climbing Center"/>
    <s v="Pro"/>
  </r>
  <r>
    <n v="1005"/>
    <n v="13"/>
    <x v="4"/>
    <s v="Normal"/>
    <s v="Solved"/>
    <d v="2026-09-30T18:28:15"/>
    <d v="2026-10-02T00:28:15"/>
    <n v="30"/>
    <s v="Crux Factory"/>
    <s v="Pro"/>
  </r>
  <r>
    <n v="1006"/>
    <n v="13"/>
    <x v="1"/>
    <s v="High"/>
    <s v="Open"/>
    <d v="2026-10-17T14:28:15"/>
    <s v="NULL"/>
    <s v=""/>
    <s v="Crux Factory"/>
    <s v="Pro"/>
  </r>
  <r>
    <n v="1007"/>
    <n v="13"/>
    <x v="0"/>
    <s v="Urgent"/>
    <s v="Open"/>
    <d v="2026-10-20T18:28:15"/>
    <s v="NULL"/>
    <s v=""/>
    <s v="Crux Factory"/>
    <s v="Pro"/>
  </r>
  <r>
    <n v="1008"/>
    <n v="1"/>
    <x v="0"/>
    <s v="High"/>
    <s v="Open"/>
    <d v="2026-10-19T14:28:15"/>
    <s v="NULL"/>
    <s v=""/>
    <s v="Summit Bouldering"/>
    <s v="Pro"/>
  </r>
  <r>
    <n v="1009"/>
    <n v="1"/>
    <x v="5"/>
    <s v="Low"/>
    <s v="Solved"/>
    <d v="2026-08-20T02:28:15"/>
    <d v="2026-08-22T04:28:15"/>
    <n v="50"/>
    <s v="Summit Bouldering"/>
    <s v="Pro"/>
  </r>
  <r>
    <n v="1010"/>
    <n v="2"/>
    <x v="2"/>
    <s v="Normal"/>
    <s v="Solved"/>
    <d v="2026-07-30T06:28:15"/>
    <d v="2026-07-30T10:28:15"/>
    <n v="4"/>
    <s v="Granite Hall Climbing"/>
    <s v="Growth"/>
  </r>
  <r>
    <n v="1011"/>
    <n v="2"/>
    <x v="3"/>
    <s v="Low"/>
    <s v="Solved"/>
    <d v="2026-10-09T02:28:15"/>
    <d v="2026-10-12T02:28:15"/>
    <n v="72"/>
    <s v="Granite Hall Climbing"/>
    <s v="Growth"/>
  </r>
  <r>
    <n v="1012"/>
    <n v="4"/>
    <x v="1"/>
    <s v="High"/>
    <s v="Solved"/>
    <d v="2026-07-09T10:28:15"/>
    <d v="2026-07-10T16:28:15"/>
    <n v="30"/>
    <s v="Overhang Collective"/>
    <s v="Pro"/>
  </r>
  <r>
    <n v="1013"/>
    <n v="4"/>
    <x v="4"/>
    <s v="Normal"/>
    <s v="Solved"/>
    <d v="2026-09-01T14:28:15"/>
    <d v="2026-09-02T08:28:15"/>
    <n v="18"/>
    <s v="Overhang Collective"/>
    <s v="Pro"/>
  </r>
  <r>
    <n v="1014"/>
    <n v="5"/>
    <x v="2"/>
    <s v="Urgent"/>
    <s v="Open"/>
    <d v="2026-10-21T04:28:15"/>
    <s v="NULL"/>
    <s v=""/>
    <s v="Chalk Up Fontana"/>
    <s v="Growth"/>
  </r>
  <r>
    <n v="1015"/>
    <n v="5"/>
    <x v="5"/>
    <s v="Normal"/>
    <s v="Solved"/>
    <d v="2026-06-18T14:28:15"/>
    <d v="2026-06-20T06:28:15"/>
    <n v="40"/>
    <s v="Chalk Up Fontana"/>
    <s v="Growth"/>
  </r>
  <r>
    <n v="1016"/>
    <n v="7"/>
    <x v="3"/>
    <s v="Normal"/>
    <s v="Pending"/>
    <d v="2026-10-19T02:28:15"/>
    <s v="NULL"/>
    <s v=""/>
    <s v="Dyno Den"/>
    <s v="Starter"/>
  </r>
  <r>
    <n v="1017"/>
    <n v="8"/>
    <x v="0"/>
    <s v="Normal"/>
    <s v="Solved"/>
    <d v="2026-08-07T14:28:15"/>
    <d v="2026-08-08T02:28:15"/>
    <n v="12"/>
    <s v="Sloper Station"/>
    <s v="Growth"/>
  </r>
  <r>
    <n v="1018"/>
    <n v="8"/>
    <x v="2"/>
    <s v="Low"/>
    <s v="Solved"/>
    <d v="2026-09-14T02:28:15"/>
    <d v="2026-09-14T10:28:15"/>
    <n v="8"/>
    <s v="Sloper Station"/>
    <s v="Growth"/>
  </r>
  <r>
    <n v="1019"/>
    <n v="10"/>
    <x v="1"/>
    <s v="Normal"/>
    <s v="Solved"/>
    <d v="2026-07-21T22:28:15"/>
    <d v="2026-07-25T22:28:15"/>
    <n v="96"/>
    <s v="Basecamp Boulders"/>
    <s v="Pro"/>
  </r>
  <r>
    <n v="1020"/>
    <n v="10"/>
    <x v="4"/>
    <s v="High"/>
    <s v="Open"/>
    <d v="2026-10-18T14:28:15"/>
    <s v="NULL"/>
    <s v=""/>
    <s v="Basecamp Boulders"/>
    <s v="Pro"/>
  </r>
  <r>
    <n v="1021"/>
    <n v="11"/>
    <x v="5"/>
    <s v="Low"/>
    <s v="Solved"/>
    <d v="2026-09-05T18:28:15"/>
    <d v="2026-09-06T18:28:15"/>
    <n v="24"/>
    <s v="Jug Haus"/>
    <s v="Growth"/>
  </r>
  <r>
    <n v="1022"/>
    <n v="12"/>
    <x v="2"/>
    <s v="Normal"/>
    <s v="Solved"/>
    <d v="2026-10-11T04:28:15"/>
    <d v="2026-10-11T06:28:15"/>
    <n v="2"/>
    <s v="Topout Climbing"/>
    <s v="Starter"/>
  </r>
  <r>
    <n v="1023"/>
    <n v="14"/>
    <x v="3"/>
    <s v="High"/>
    <s v="Solved"/>
    <d v="2026-08-15T22:28:15"/>
    <d v="2026-08-17T22:28:15"/>
    <n v="48"/>
    <s v="Flash Point Bouldering"/>
    <s v="Growth"/>
  </r>
  <r>
    <n v="1024"/>
    <n v="14"/>
    <x v="0"/>
    <s v="Normal"/>
    <s v="Pending"/>
    <d v="2026-10-13T06:28:15"/>
    <s v="NULL"/>
    <s v=""/>
    <s v="Flash Point Bouldering"/>
    <s v="Growth"/>
  </r>
  <r>
    <n v="1025"/>
    <n v="16"/>
    <x v="3"/>
    <s v="Urgent"/>
    <s v="Solved"/>
    <d v="2026-05-07T22:28:15"/>
    <d v="2026-05-08T08:28:15"/>
    <n v="10"/>
    <s v="Pinch Point Climbing"/>
    <s v="Growth"/>
  </r>
  <r>
    <n v="1026"/>
    <n v="16"/>
    <x v="1"/>
    <s v="High"/>
    <s v="Solved"/>
    <d v="2026-05-16T06:28:15"/>
    <d v="2026-05-18T18:28:15"/>
    <n v="60"/>
    <s v="Pinch Point Climbing"/>
    <s v="Growth"/>
  </r>
  <r>
    <n v="1027"/>
    <n v="17"/>
    <x v="5"/>
    <s v="Low"/>
    <s v="Open"/>
    <d v="2026-10-20T02:28:15"/>
    <s v="NULL"/>
    <s v=""/>
    <s v="Send Shed"/>
    <s v="Starter"/>
  </r>
  <r>
    <n v="1028"/>
    <n v="18"/>
    <x v="4"/>
    <s v="Normal"/>
    <s v="Solved"/>
    <d v="2026-07-05T06:28:15"/>
    <d v="2026-07-06T02:28:15"/>
    <n v="20"/>
    <s v="Vertical Union"/>
    <s v="Pro"/>
  </r>
  <r>
    <n v="1029"/>
    <n v="18"/>
    <x v="2"/>
    <s v="High"/>
    <s v="Solved"/>
    <d v="2026-09-22T10:28:15"/>
    <d v="2026-09-22T13:28:15"/>
    <n v="3"/>
    <s v="Vertical Union"/>
    <s v="Pro"/>
  </r>
  <r>
    <n v="1030"/>
    <n v="19"/>
    <x v="1"/>
    <s v="Normal"/>
    <s v="Solved"/>
    <d v="2026-08-24T06:28:15"/>
    <d v="2026-08-25T18:28:15"/>
    <n v="36"/>
    <s v="Mantle Mill"/>
    <s v="Growth"/>
  </r>
  <r>
    <n v="1031"/>
    <n v="21"/>
    <x v="0"/>
    <s v="Low"/>
    <s v="Solved"/>
    <d v="2026-07-26T02:28:15"/>
    <d v="2026-07-26T18:28:15"/>
    <n v="16"/>
    <s v="Campus Board Co"/>
    <s v="Growth"/>
  </r>
  <r>
    <n v="1032"/>
    <n v="22"/>
    <x v="3"/>
    <s v="Normal"/>
    <s v="Solved"/>
    <d v="2026-08-28T10:28:15"/>
    <d v="2026-08-29T16:28:15"/>
    <n v="30"/>
    <s v="Gneiss Climbing"/>
    <s v="Pro"/>
  </r>
  <r>
    <n v="1033"/>
    <n v="22"/>
    <x v="5"/>
    <s v="Normal"/>
    <s v="Open"/>
    <d v="2026-10-16T14:28:15"/>
    <s v="NULL"/>
    <s v=""/>
    <s v="Gneiss Climbing"/>
    <s v="Pro"/>
  </r>
  <r>
    <n v="1034"/>
    <n v="23"/>
    <x v="2"/>
    <s v="Low"/>
    <s v="Solved"/>
    <d v="2026-09-18T06:28:15"/>
    <d v="2026-09-18T11:28:15"/>
    <n v="5"/>
    <s v="Smear Club"/>
    <s v="Starter"/>
  </r>
  <r>
    <n v="1035"/>
    <n v="24"/>
    <x v="4"/>
    <s v="High"/>
    <s v="Solved"/>
    <d v="2026-09-09T22:28:15"/>
    <d v="2026-09-10T12:28:15"/>
    <n v="14"/>
    <s v="Rope Gun Climbing"/>
    <s v="Growth"/>
  </r>
  <r>
    <n v="1036"/>
    <n v="26"/>
    <x v="1"/>
    <s v="Urgent"/>
    <s v="Solved"/>
    <d v="2026-09-24T12:28:15"/>
    <d v="2026-09-24T21:28:15"/>
    <n v="9"/>
    <s v="Kneebar Bouldering"/>
    <s v="Growth"/>
  </r>
  <r>
    <n v="1037"/>
    <n v="26"/>
    <x v="0"/>
    <s v="Normal"/>
    <s v="Open"/>
    <d v="2026-10-18T06:28:15"/>
    <s v="NULL"/>
    <s v=""/>
    <s v="Kneebar Bouldering"/>
    <s v="Growth"/>
  </r>
  <r>
    <n v="1038"/>
    <n v="28"/>
    <x v="5"/>
    <s v="Low"/>
    <s v="Solved"/>
    <d v="2026-05-28T18:28:15"/>
    <d v="2026-06-01T12:28:15"/>
    <n v="90"/>
    <s v="Peak Pursuit Climbing"/>
    <s v="Pro"/>
  </r>
  <r>
    <n v="1039"/>
    <n v="28"/>
    <x v="3"/>
    <s v="Normal"/>
    <s v="Solved"/>
    <d v="2026-07-13T14:28:15"/>
    <d v="2026-07-14T16:28:15"/>
    <n v="26"/>
    <s v="Peak Pursuit Climbing"/>
    <s v="Pro"/>
  </r>
  <r>
    <n v="1040"/>
    <n v="29"/>
    <x v="2"/>
    <s v="Normal"/>
    <s v="Solved"/>
    <d v="2026-08-11T18:28:15"/>
    <d v="2026-08-12T00:28:15"/>
    <n v="6"/>
    <s v="Bolt Line Bouldering"/>
    <s v="Growth"/>
  </r>
  <r>
    <n v="1041"/>
    <n v="29"/>
    <x v="4"/>
    <s v="Low"/>
    <s v="Pending"/>
    <d v="2026-10-14T02:28:15"/>
    <s v="NULL"/>
    <s v=""/>
    <s v="Bolt Line Bouldering"/>
    <s v="Growth"/>
  </r>
  <r>
    <n v="1042"/>
    <n v="11"/>
    <x v="1"/>
    <s v="High"/>
    <s v="Open"/>
    <d v="2026-10-15T18:28:15"/>
    <s v="NULL"/>
    <s v=""/>
    <s v="Jug Haus"/>
    <s v="Growth"/>
  </r>
  <r>
    <n v="1043"/>
    <n v="19"/>
    <x v="2"/>
    <s v="Urgent"/>
    <s v="Solved"/>
    <d v="2026-10-07T00:28:15"/>
    <d v="2026-10-07T02:28:15"/>
    <n v="2"/>
    <s v="Mantle Mill"/>
    <s v="Growth"/>
  </r>
  <r>
    <n v="1044"/>
    <n v="21"/>
    <x v="3"/>
    <s v="Low"/>
    <s v="Solved"/>
    <d v="2026-09-12T00:28:15"/>
    <d v="2026-09-13T16:28:15"/>
    <n v="40"/>
    <s v="Campus Board Co"/>
    <s v="Growth"/>
  </r>
  <r>
    <n v="1045"/>
    <n v="24"/>
    <x v="5"/>
    <s v="Normal"/>
    <s v="Solved"/>
    <d v="2026-07-01T02:28:15"/>
    <d v="2026-07-02T00:28:15"/>
    <n v="22"/>
    <s v="Rope Gun Climbing"/>
    <s v="Growth"/>
  </r>
  <r>
    <n v="1046"/>
    <n v="1"/>
    <x v="0"/>
    <s v="High"/>
    <s v="Open"/>
    <d v="2026-10-21T14:29:16"/>
    <s v="NULL"/>
    <s v=""/>
    <s v="Summit Bouldering"/>
    <s v="Pr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37647-2085-4B26-8527-6F55E533C7CD}" name="PivotTable1" cacheId="3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0" firstHeaderRow="0" firstDataRow="1" firstDataCol="1"/>
  <pivotFields count="10">
    <pivotField dataField="1" compact="0" outline="0" showAll="0"/>
    <pivotField compact="0" outline="0" showAll="0"/>
    <pivotField axis="axisRow" compact="0" outline="0" showAll="0">
      <items count="7">
        <item x="3"/>
        <item x="4"/>
        <item x="1"/>
        <item x="2"/>
        <item x="5"/>
        <item x="0"/>
        <item t="default"/>
      </items>
    </pivotField>
    <pivotField compact="0" outline="0" showAll="0"/>
    <pivotField compact="0" outline="0" showAll="0"/>
    <pivotField compact="0" numFmtId="22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_id" fld="0" subtotal="count" baseField="0" baseItem="0"/>
    <dataField name="Average of resolution_hours" fld="7" subtotal="average" baseField="0" baseItem="0" numFmtId="2"/>
  </dataFields>
  <formats count="1">
    <format dxfId="8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6A450-E4EC-423D-B5AD-F85632B97058}" name="tblTickets" displayName="tblTickets" ref="A1:J47" totalsRowShown="0">
  <autoFilter ref="A1:J47" xr:uid="{E016A450-E4EC-423D-B5AD-F85632B97058}"/>
  <tableColumns count="10">
    <tableColumn id="1" xr3:uid="{6897FBC5-5D91-441A-8A56-0CF3D0484BA9}" name="ticket_id"/>
    <tableColumn id="2" xr3:uid="{D6382E32-0600-4AD0-A515-3347D07B6042}" name="client_id"/>
    <tableColumn id="3" xr3:uid="{31225C7B-C329-4F0B-A853-5949CB6966E4}" name="category"/>
    <tableColumn id="4" xr3:uid="{6C30E7A4-2F61-4D05-8C45-8F2B4D39057B}" name="priority"/>
    <tableColumn id="5" xr3:uid="{BE9B39F4-7E8B-4748-8388-BFC5D1307FD0}" name="status"/>
    <tableColumn id="6" xr3:uid="{988B66E2-12F5-4468-90B2-CDE1F5BDC42C}" name="created_at" dataDxfId="5"/>
    <tableColumn id="7" xr3:uid="{D898DD3F-F21D-4CD7-A087-B269FDA0C6AB}" name="resolved_at" dataDxfId="4"/>
    <tableColumn id="9" xr3:uid="{CF4B2784-58DF-49EB-9123-9E782CBBB079}" name="resolution_hours" dataDxfId="3">
      <calculatedColumnFormula>IF(E2="Solved",ROUND((G2-F2)*24,1),"")</calculatedColumnFormula>
    </tableColumn>
    <tableColumn id="10" xr3:uid="{7EE9076F-88A5-45B9-B5D0-0E021946EAAC}" name="client_name" dataDxfId="2">
      <calculatedColumnFormula>_xlfn.XLOOKUP(B2,Clients!A:A,Clients!B:B,"Not found")</calculatedColumnFormula>
    </tableColumn>
    <tableColumn id="11" xr3:uid="{292DEFBC-1EC5-4859-BEED-D4834BE7AF39}" name="plan_tier" dataDxfId="1">
      <calculatedColumnFormula>_xlfn.XLOOKUP(B2,Clients!A:A,Clients!C:C,"Not found")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E0978E-AB79-4EAA-A7AD-AD328E0F14E4}" name="tblClients" displayName="tblClients" ref="A1:E30" totalsRowShown="0">
  <autoFilter ref="A1:E30" xr:uid="{7DE0978E-AB79-4EAA-A7AD-AD328E0F14E4}"/>
  <tableColumns count="5">
    <tableColumn id="1" xr3:uid="{1947C536-D59C-4E63-9C16-37BA930CF7C9}" name="client_id"/>
    <tableColumn id="2" xr3:uid="{2F064E70-E489-40A0-B949-4AFC24DD89C6}" name="name"/>
    <tableColumn id="3" xr3:uid="{197679A4-5B62-483C-BF88-3F0BE1D9D821}" name="plan_tier"/>
    <tableColumn id="4" xr3:uid="{56B84A2D-B267-42E4-BD7C-7C24C35F31C4}" name="signup_date" dataDxfId="0"/>
    <tableColumn id="5" xr3:uid="{A318B0E8-78B7-44E8-9A00-0924BAA6E28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22EB-BCD6-4D50-A821-35305F89FA6D}">
  <dimension ref="A3:C10"/>
  <sheetViews>
    <sheetView tabSelected="1" workbookViewId="0">
      <selection activeCell="U14" sqref="U14"/>
    </sheetView>
  </sheetViews>
  <sheetFormatPr defaultRowHeight="15"/>
  <cols>
    <col min="1" max="1" width="15.42578125" bestFit="1" customWidth="1"/>
    <col min="2" max="2" width="17.140625" bestFit="1" customWidth="1"/>
    <col min="3" max="3" width="27" bestFit="1" customWidth="1"/>
  </cols>
  <sheetData>
    <row r="3" spans="1:3">
      <c r="A3" s="3" t="s">
        <v>0</v>
      </c>
      <c r="B3" t="s">
        <v>1</v>
      </c>
      <c r="C3" t="s">
        <v>2</v>
      </c>
    </row>
    <row r="4" spans="1:3">
      <c r="A4" t="s">
        <v>3</v>
      </c>
      <c r="B4" s="4">
        <v>8</v>
      </c>
      <c r="C4" s="5">
        <v>37.666666666666664</v>
      </c>
    </row>
    <row r="5" spans="1:3">
      <c r="A5" t="s">
        <v>4</v>
      </c>
      <c r="B5" s="4">
        <v>6</v>
      </c>
      <c r="C5" s="5">
        <v>20.5</v>
      </c>
    </row>
    <row r="6" spans="1:3">
      <c r="A6" t="s">
        <v>5</v>
      </c>
      <c r="B6" s="4">
        <v>8</v>
      </c>
      <c r="C6" s="5">
        <v>39.5</v>
      </c>
    </row>
    <row r="7" spans="1:3">
      <c r="A7" t="s">
        <v>6</v>
      </c>
      <c r="B7" s="4">
        <v>9</v>
      </c>
      <c r="C7" s="5">
        <v>4.2857142857142856</v>
      </c>
    </row>
    <row r="8" spans="1:3">
      <c r="A8" t="s">
        <v>7</v>
      </c>
      <c r="B8" s="4">
        <v>7</v>
      </c>
      <c r="C8" s="5">
        <v>45.2</v>
      </c>
    </row>
    <row r="9" spans="1:3">
      <c r="A9" t="s">
        <v>8</v>
      </c>
      <c r="B9" s="4">
        <v>8</v>
      </c>
      <c r="C9" s="5">
        <v>16</v>
      </c>
    </row>
    <row r="10" spans="1:3">
      <c r="A10" t="s">
        <v>9</v>
      </c>
      <c r="B10" s="4">
        <v>46</v>
      </c>
      <c r="C10" s="5">
        <v>27.387096774193548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A2" sqref="A2"/>
    </sheetView>
  </sheetViews>
  <sheetFormatPr defaultRowHeight="15"/>
  <cols>
    <col min="1" max="2" width="11.140625" bestFit="1" customWidth="1"/>
    <col min="3" max="3" width="15.42578125" bestFit="1" customWidth="1"/>
    <col min="4" max="4" width="10" bestFit="1" customWidth="1"/>
    <col min="5" max="5" width="8.85546875" bestFit="1" customWidth="1"/>
    <col min="6" max="6" width="17" bestFit="1" customWidth="1"/>
    <col min="7" max="7" width="16" bestFit="1" customWidth="1"/>
    <col min="8" max="8" width="18.7109375" customWidth="1"/>
    <col min="9" max="9" width="28.85546875" customWidth="1"/>
    <col min="10" max="10" width="16.5703125" customWidth="1"/>
    <col min="11" max="11" width="22.85546875" customWidth="1"/>
  </cols>
  <sheetData>
    <row r="1" spans="1:10">
      <c r="A1" t="s">
        <v>10</v>
      </c>
      <c r="B1" t="s">
        <v>11</v>
      </c>
      <c r="C1" t="s">
        <v>0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>
      <c r="A2">
        <v>1001</v>
      </c>
      <c r="B2">
        <v>6</v>
      </c>
      <c r="C2" t="s">
        <v>8</v>
      </c>
      <c r="D2" t="s">
        <v>19</v>
      </c>
      <c r="E2" t="s">
        <v>20</v>
      </c>
      <c r="F2" s="1">
        <v>46291.602951388886</v>
      </c>
      <c r="G2" s="1">
        <v>46292.436284722222</v>
      </c>
      <c r="H2">
        <f t="shared" ref="H2:H47" si="0">IF(E2="Solved",ROUND((G2-F2)*24,1),"")</f>
        <v>20</v>
      </c>
      <c r="I2" t="str">
        <f>_xlfn.XLOOKUP(B2,Clients!A:A,Clients!B:B,"Not found")</f>
        <v>Redpoint Climbing Center</v>
      </c>
      <c r="J2" t="str">
        <f>_xlfn.XLOOKUP(B2,Clients!A:A,Clients!C:C,"Not found")</f>
        <v>Pro</v>
      </c>
    </row>
    <row r="3" spans="1:10">
      <c r="A3">
        <v>1002</v>
      </c>
      <c r="B3">
        <v>6</v>
      </c>
      <c r="C3" t="s">
        <v>5</v>
      </c>
      <c r="D3" t="s">
        <v>21</v>
      </c>
      <c r="E3" t="s">
        <v>20</v>
      </c>
      <c r="F3" s="1">
        <v>46299.936284722222</v>
      </c>
      <c r="G3" s="1">
        <v>46300.186284722222</v>
      </c>
      <c r="H3">
        <f t="shared" si="0"/>
        <v>6</v>
      </c>
      <c r="I3" t="str">
        <f>_xlfn.XLOOKUP(B3,Clients!A:A,Clients!B:B,"Not found")</f>
        <v>Redpoint Climbing Center</v>
      </c>
      <c r="J3" t="str">
        <f>_xlfn.XLOOKUP(B3,Clients!A:A,Clients!C:C,"Not found")</f>
        <v>Pro</v>
      </c>
    </row>
    <row r="4" spans="1:10">
      <c r="A4">
        <v>1003</v>
      </c>
      <c r="B4">
        <v>6</v>
      </c>
      <c r="C4" t="s">
        <v>6</v>
      </c>
      <c r="D4" t="s">
        <v>22</v>
      </c>
      <c r="E4" t="s">
        <v>23</v>
      </c>
      <c r="F4" s="1">
        <v>46310.352951388886</v>
      </c>
      <c r="G4" t="s">
        <v>24</v>
      </c>
      <c r="H4" t="str">
        <f t="shared" si="0"/>
        <v/>
      </c>
      <c r="I4" t="str">
        <f>_xlfn.XLOOKUP(B4,Clients!A:A,Clients!B:B,"Not found")</f>
        <v>Redpoint Climbing Center</v>
      </c>
      <c r="J4" t="str">
        <f>_xlfn.XLOOKUP(B4,Clients!A:A,Clients!C:C,"Not found")</f>
        <v>Pro</v>
      </c>
    </row>
    <row r="5" spans="1:10">
      <c r="A5">
        <v>1004</v>
      </c>
      <c r="B5">
        <v>6</v>
      </c>
      <c r="C5" t="s">
        <v>3</v>
      </c>
      <c r="D5" t="s">
        <v>19</v>
      </c>
      <c r="E5" t="s">
        <v>25</v>
      </c>
      <c r="F5" s="1">
        <v>46315.352951388886</v>
      </c>
      <c r="G5" t="s">
        <v>24</v>
      </c>
      <c r="H5" t="str">
        <f t="shared" si="0"/>
        <v/>
      </c>
      <c r="I5" t="str">
        <f>_xlfn.XLOOKUP(B5,Clients!A:A,Clients!B:B,"Not found")</f>
        <v>Redpoint Climbing Center</v>
      </c>
      <c r="J5" t="str">
        <f>_xlfn.XLOOKUP(B5,Clients!A:A,Clients!C:C,"Not found")</f>
        <v>Pro</v>
      </c>
    </row>
    <row r="6" spans="1:10">
      <c r="A6">
        <v>1005</v>
      </c>
      <c r="B6">
        <v>13</v>
      </c>
      <c r="C6" t="s">
        <v>4</v>
      </c>
      <c r="D6" t="s">
        <v>22</v>
      </c>
      <c r="E6" t="s">
        <v>20</v>
      </c>
      <c r="F6" s="1">
        <v>46295.769618055558</v>
      </c>
      <c r="G6" s="1">
        <v>46297.019618055558</v>
      </c>
      <c r="H6">
        <f t="shared" si="0"/>
        <v>30</v>
      </c>
      <c r="I6" t="str">
        <f>_xlfn.XLOOKUP(B6,Clients!A:A,Clients!B:B,"Not found")</f>
        <v>Crux Factory</v>
      </c>
      <c r="J6" t="str">
        <f>_xlfn.XLOOKUP(B6,Clients!A:A,Clients!C:C,"Not found")</f>
        <v>Pro</v>
      </c>
    </row>
    <row r="7" spans="1:10">
      <c r="A7">
        <v>1006</v>
      </c>
      <c r="B7">
        <v>13</v>
      </c>
      <c r="C7" t="s">
        <v>5</v>
      </c>
      <c r="D7" t="s">
        <v>19</v>
      </c>
      <c r="E7" t="s">
        <v>25</v>
      </c>
      <c r="F7" s="1">
        <v>46312.602951388886</v>
      </c>
      <c r="G7" t="s">
        <v>24</v>
      </c>
      <c r="H7" t="str">
        <f t="shared" si="0"/>
        <v/>
      </c>
      <c r="I7" t="str">
        <f>_xlfn.XLOOKUP(B7,Clients!A:A,Clients!B:B,"Not found")</f>
        <v>Crux Factory</v>
      </c>
      <c r="J7" t="str">
        <f>_xlfn.XLOOKUP(B7,Clients!A:A,Clients!C:C,"Not found")</f>
        <v>Pro</v>
      </c>
    </row>
    <row r="8" spans="1:10">
      <c r="A8">
        <v>1007</v>
      </c>
      <c r="B8">
        <v>13</v>
      </c>
      <c r="C8" t="s">
        <v>8</v>
      </c>
      <c r="D8" t="s">
        <v>21</v>
      </c>
      <c r="E8" t="s">
        <v>25</v>
      </c>
      <c r="F8" s="1">
        <v>46315.769618055558</v>
      </c>
      <c r="G8" t="s">
        <v>24</v>
      </c>
      <c r="H8" t="str">
        <f t="shared" si="0"/>
        <v/>
      </c>
      <c r="I8" t="str">
        <f>_xlfn.XLOOKUP(B8,Clients!A:A,Clients!B:B,"Not found")</f>
        <v>Crux Factory</v>
      </c>
      <c r="J8" t="str">
        <f>_xlfn.XLOOKUP(B8,Clients!A:A,Clients!C:C,"Not found")</f>
        <v>Pro</v>
      </c>
    </row>
    <row r="9" spans="1:10">
      <c r="A9">
        <v>1008</v>
      </c>
      <c r="B9">
        <v>1</v>
      </c>
      <c r="C9" t="s">
        <v>8</v>
      </c>
      <c r="D9" t="s">
        <v>19</v>
      </c>
      <c r="E9" t="s">
        <v>25</v>
      </c>
      <c r="F9" s="1">
        <v>46314.602951388886</v>
      </c>
      <c r="G9" t="s">
        <v>24</v>
      </c>
      <c r="H9" t="str">
        <f t="shared" si="0"/>
        <v/>
      </c>
      <c r="I9" t="str">
        <f>_xlfn.XLOOKUP(B9,Clients!A:A,Clients!B:B,"Not found")</f>
        <v>Summit Bouldering</v>
      </c>
      <c r="J9" t="str">
        <f>_xlfn.XLOOKUP(B9,Clients!A:A,Clients!C:C,"Not found")</f>
        <v>Pro</v>
      </c>
    </row>
    <row r="10" spans="1:10">
      <c r="A10">
        <v>1009</v>
      </c>
      <c r="B10">
        <v>1</v>
      </c>
      <c r="C10" t="s">
        <v>7</v>
      </c>
      <c r="D10" t="s">
        <v>26</v>
      </c>
      <c r="E10" t="s">
        <v>20</v>
      </c>
      <c r="F10" s="1">
        <v>46254.102951388886</v>
      </c>
      <c r="G10" s="1">
        <v>46256.186284722222</v>
      </c>
      <c r="H10">
        <f t="shared" si="0"/>
        <v>50</v>
      </c>
      <c r="I10" t="str">
        <f>_xlfn.XLOOKUP(B10,Clients!A:A,Clients!B:B,"Not found")</f>
        <v>Summit Bouldering</v>
      </c>
      <c r="J10" t="str">
        <f>_xlfn.XLOOKUP(B10,Clients!A:A,Clients!C:C,"Not found")</f>
        <v>Pro</v>
      </c>
    </row>
    <row r="11" spans="1:10">
      <c r="A11">
        <v>1010</v>
      </c>
      <c r="B11">
        <v>2</v>
      </c>
      <c r="C11" t="s">
        <v>6</v>
      </c>
      <c r="D11" t="s">
        <v>22</v>
      </c>
      <c r="E11" t="s">
        <v>20</v>
      </c>
      <c r="F11" s="1">
        <v>46233.269618055558</v>
      </c>
      <c r="G11" s="1">
        <v>46233.436284722222</v>
      </c>
      <c r="H11">
        <f t="shared" si="0"/>
        <v>4</v>
      </c>
      <c r="I11" t="str">
        <f>_xlfn.XLOOKUP(B11,Clients!A:A,Clients!B:B,"Not found")</f>
        <v>Granite Hall Climbing</v>
      </c>
      <c r="J11" t="str">
        <f>_xlfn.XLOOKUP(B11,Clients!A:A,Clients!C:C,"Not found")</f>
        <v>Growth</v>
      </c>
    </row>
    <row r="12" spans="1:10">
      <c r="A12">
        <v>1011</v>
      </c>
      <c r="B12">
        <v>2</v>
      </c>
      <c r="C12" t="s">
        <v>3</v>
      </c>
      <c r="D12" t="s">
        <v>26</v>
      </c>
      <c r="E12" t="s">
        <v>20</v>
      </c>
      <c r="F12" s="1">
        <v>46304.102951388886</v>
      </c>
      <c r="G12" s="1">
        <v>46307.102951388886</v>
      </c>
      <c r="H12">
        <f t="shared" si="0"/>
        <v>72</v>
      </c>
      <c r="I12" t="str">
        <f>_xlfn.XLOOKUP(B12,Clients!A:A,Clients!B:B,"Not found")</f>
        <v>Granite Hall Climbing</v>
      </c>
      <c r="J12" t="str">
        <f>_xlfn.XLOOKUP(B12,Clients!A:A,Clients!C:C,"Not found")</f>
        <v>Growth</v>
      </c>
    </row>
    <row r="13" spans="1:10">
      <c r="A13">
        <v>1012</v>
      </c>
      <c r="B13">
        <v>4</v>
      </c>
      <c r="C13" t="s">
        <v>5</v>
      </c>
      <c r="D13" t="s">
        <v>19</v>
      </c>
      <c r="E13" t="s">
        <v>20</v>
      </c>
      <c r="F13" s="1">
        <v>46212.436284722222</v>
      </c>
      <c r="G13" s="1">
        <v>46213.686284722222</v>
      </c>
      <c r="H13">
        <f t="shared" si="0"/>
        <v>30</v>
      </c>
      <c r="I13" t="str">
        <f>_xlfn.XLOOKUP(B13,Clients!A:A,Clients!B:B,"Not found")</f>
        <v>Overhang Collective</v>
      </c>
      <c r="J13" t="str">
        <f>_xlfn.XLOOKUP(B13,Clients!A:A,Clients!C:C,"Not found")</f>
        <v>Pro</v>
      </c>
    </row>
    <row r="14" spans="1:10">
      <c r="A14">
        <v>1013</v>
      </c>
      <c r="B14">
        <v>4</v>
      </c>
      <c r="C14" t="s">
        <v>4</v>
      </c>
      <c r="D14" t="s">
        <v>22</v>
      </c>
      <c r="E14" t="s">
        <v>20</v>
      </c>
      <c r="F14" s="1">
        <v>46266.602951388886</v>
      </c>
      <c r="G14" s="1">
        <v>46267.352951388886</v>
      </c>
      <c r="H14">
        <f t="shared" si="0"/>
        <v>18</v>
      </c>
      <c r="I14" t="str">
        <f>_xlfn.XLOOKUP(B14,Clients!A:A,Clients!B:B,"Not found")</f>
        <v>Overhang Collective</v>
      </c>
      <c r="J14" t="str">
        <f>_xlfn.XLOOKUP(B14,Clients!A:A,Clients!C:C,"Not found")</f>
        <v>Pro</v>
      </c>
    </row>
    <row r="15" spans="1:10">
      <c r="A15">
        <v>1014</v>
      </c>
      <c r="B15">
        <v>5</v>
      </c>
      <c r="C15" t="s">
        <v>6</v>
      </c>
      <c r="D15" t="s">
        <v>21</v>
      </c>
      <c r="E15" t="s">
        <v>25</v>
      </c>
      <c r="F15" s="1">
        <v>46316.186284722222</v>
      </c>
      <c r="G15" t="s">
        <v>24</v>
      </c>
      <c r="H15" t="str">
        <f t="shared" si="0"/>
        <v/>
      </c>
      <c r="I15" t="str">
        <f>_xlfn.XLOOKUP(B15,Clients!A:A,Clients!B:B,"Not found")</f>
        <v>Chalk Up Fontana</v>
      </c>
      <c r="J15" t="str">
        <f>_xlfn.XLOOKUP(B15,Clients!A:A,Clients!C:C,"Not found")</f>
        <v>Growth</v>
      </c>
    </row>
    <row r="16" spans="1:10">
      <c r="A16">
        <v>1015</v>
      </c>
      <c r="B16">
        <v>5</v>
      </c>
      <c r="C16" t="s">
        <v>7</v>
      </c>
      <c r="D16" t="s">
        <v>22</v>
      </c>
      <c r="E16" t="s">
        <v>20</v>
      </c>
      <c r="F16" s="1">
        <v>46191.602951388886</v>
      </c>
      <c r="G16" s="1">
        <v>46193.269618055558</v>
      </c>
      <c r="H16">
        <f t="shared" si="0"/>
        <v>40</v>
      </c>
      <c r="I16" t="str">
        <f>_xlfn.XLOOKUP(B16,Clients!A:A,Clients!B:B,"Not found")</f>
        <v>Chalk Up Fontana</v>
      </c>
      <c r="J16" t="str">
        <f>_xlfn.XLOOKUP(B16,Clients!A:A,Clients!C:C,"Not found")</f>
        <v>Growth</v>
      </c>
    </row>
    <row r="17" spans="1:10">
      <c r="A17">
        <v>1016</v>
      </c>
      <c r="B17">
        <v>7</v>
      </c>
      <c r="C17" t="s">
        <v>3</v>
      </c>
      <c r="D17" t="s">
        <v>22</v>
      </c>
      <c r="E17" t="s">
        <v>23</v>
      </c>
      <c r="F17" s="1">
        <v>46314.102951388886</v>
      </c>
      <c r="G17" t="s">
        <v>24</v>
      </c>
      <c r="H17" t="str">
        <f t="shared" si="0"/>
        <v/>
      </c>
      <c r="I17" t="str">
        <f>_xlfn.XLOOKUP(B17,Clients!A:A,Clients!B:B,"Not found")</f>
        <v>Dyno Den</v>
      </c>
      <c r="J17" t="str">
        <f>_xlfn.XLOOKUP(B17,Clients!A:A,Clients!C:C,"Not found")</f>
        <v>Starter</v>
      </c>
    </row>
    <row r="18" spans="1:10">
      <c r="A18">
        <v>1017</v>
      </c>
      <c r="B18">
        <v>8</v>
      </c>
      <c r="C18" t="s">
        <v>8</v>
      </c>
      <c r="D18" t="s">
        <v>22</v>
      </c>
      <c r="E18" t="s">
        <v>20</v>
      </c>
      <c r="F18" s="1">
        <v>46241.602951388886</v>
      </c>
      <c r="G18" s="1">
        <v>46242.102951388886</v>
      </c>
      <c r="H18">
        <f t="shared" si="0"/>
        <v>12</v>
      </c>
      <c r="I18" t="str">
        <f>_xlfn.XLOOKUP(B18,Clients!A:A,Clients!B:B,"Not found")</f>
        <v>Sloper Station</v>
      </c>
      <c r="J18" t="str">
        <f>_xlfn.XLOOKUP(B18,Clients!A:A,Clients!C:C,"Not found")</f>
        <v>Growth</v>
      </c>
    </row>
    <row r="19" spans="1:10">
      <c r="A19">
        <v>1018</v>
      </c>
      <c r="B19">
        <v>8</v>
      </c>
      <c r="C19" t="s">
        <v>6</v>
      </c>
      <c r="D19" t="s">
        <v>26</v>
      </c>
      <c r="E19" t="s">
        <v>20</v>
      </c>
      <c r="F19" s="1">
        <v>46279.102951388886</v>
      </c>
      <c r="G19" s="1">
        <v>46279.436284722222</v>
      </c>
      <c r="H19">
        <f t="shared" si="0"/>
        <v>8</v>
      </c>
      <c r="I19" t="str">
        <f>_xlfn.XLOOKUP(B19,Clients!A:A,Clients!B:B,"Not found")</f>
        <v>Sloper Station</v>
      </c>
      <c r="J19" t="str">
        <f>_xlfn.XLOOKUP(B19,Clients!A:A,Clients!C:C,"Not found")</f>
        <v>Growth</v>
      </c>
    </row>
    <row r="20" spans="1:10">
      <c r="A20">
        <v>1019</v>
      </c>
      <c r="B20">
        <v>10</v>
      </c>
      <c r="C20" t="s">
        <v>5</v>
      </c>
      <c r="D20" t="s">
        <v>22</v>
      </c>
      <c r="E20" t="s">
        <v>20</v>
      </c>
      <c r="F20" s="1">
        <v>46224.936284722222</v>
      </c>
      <c r="G20" s="1">
        <v>46228.936284722222</v>
      </c>
      <c r="H20">
        <f t="shared" si="0"/>
        <v>96</v>
      </c>
      <c r="I20" t="str">
        <f>_xlfn.XLOOKUP(B20,Clients!A:A,Clients!B:B,"Not found")</f>
        <v>Basecamp Boulders</v>
      </c>
      <c r="J20" t="str">
        <f>_xlfn.XLOOKUP(B20,Clients!A:A,Clients!C:C,"Not found")</f>
        <v>Pro</v>
      </c>
    </row>
    <row r="21" spans="1:10">
      <c r="A21">
        <v>1020</v>
      </c>
      <c r="B21">
        <v>10</v>
      </c>
      <c r="C21" t="s">
        <v>4</v>
      </c>
      <c r="D21" t="s">
        <v>19</v>
      </c>
      <c r="E21" t="s">
        <v>25</v>
      </c>
      <c r="F21" s="1">
        <v>46313.602951388886</v>
      </c>
      <c r="G21" t="s">
        <v>24</v>
      </c>
      <c r="H21" t="str">
        <f t="shared" si="0"/>
        <v/>
      </c>
      <c r="I21" t="str">
        <f>_xlfn.XLOOKUP(B21,Clients!A:A,Clients!B:B,"Not found")</f>
        <v>Basecamp Boulders</v>
      </c>
      <c r="J21" t="str">
        <f>_xlfn.XLOOKUP(B21,Clients!A:A,Clients!C:C,"Not found")</f>
        <v>Pro</v>
      </c>
    </row>
    <row r="22" spans="1:10">
      <c r="A22">
        <v>1021</v>
      </c>
      <c r="B22">
        <v>11</v>
      </c>
      <c r="C22" t="s">
        <v>7</v>
      </c>
      <c r="D22" t="s">
        <v>26</v>
      </c>
      <c r="E22" t="s">
        <v>20</v>
      </c>
      <c r="F22" s="1">
        <v>46270.769618055558</v>
      </c>
      <c r="G22" s="1">
        <v>46271.769618055558</v>
      </c>
      <c r="H22">
        <f t="shared" si="0"/>
        <v>24</v>
      </c>
      <c r="I22" t="str">
        <f>_xlfn.XLOOKUP(B22,Clients!A:A,Clients!B:B,"Not found")</f>
        <v>Jug Haus</v>
      </c>
      <c r="J22" t="str">
        <f>_xlfn.XLOOKUP(B22,Clients!A:A,Clients!C:C,"Not found")</f>
        <v>Growth</v>
      </c>
    </row>
    <row r="23" spans="1:10">
      <c r="A23">
        <v>1022</v>
      </c>
      <c r="B23">
        <v>12</v>
      </c>
      <c r="C23" t="s">
        <v>6</v>
      </c>
      <c r="D23" t="s">
        <v>22</v>
      </c>
      <c r="E23" t="s">
        <v>20</v>
      </c>
      <c r="F23" s="1">
        <v>46306.186284722222</v>
      </c>
      <c r="G23" s="1">
        <v>46306.269618055558</v>
      </c>
      <c r="H23">
        <f t="shared" si="0"/>
        <v>2</v>
      </c>
      <c r="I23" t="str">
        <f>_xlfn.XLOOKUP(B23,Clients!A:A,Clients!B:B,"Not found")</f>
        <v>Topout Climbing</v>
      </c>
      <c r="J23" t="str">
        <f>_xlfn.XLOOKUP(B23,Clients!A:A,Clients!C:C,"Not found")</f>
        <v>Starter</v>
      </c>
    </row>
    <row r="24" spans="1:10">
      <c r="A24">
        <v>1023</v>
      </c>
      <c r="B24">
        <v>14</v>
      </c>
      <c r="C24" t="s">
        <v>3</v>
      </c>
      <c r="D24" t="s">
        <v>19</v>
      </c>
      <c r="E24" t="s">
        <v>20</v>
      </c>
      <c r="F24" s="1">
        <v>46249.936284722222</v>
      </c>
      <c r="G24" s="1">
        <v>46251.936284722222</v>
      </c>
      <c r="H24">
        <f t="shared" si="0"/>
        <v>48</v>
      </c>
      <c r="I24" t="str">
        <f>_xlfn.XLOOKUP(B24,Clients!A:A,Clients!B:B,"Not found")</f>
        <v>Flash Point Bouldering</v>
      </c>
      <c r="J24" t="str">
        <f>_xlfn.XLOOKUP(B24,Clients!A:A,Clients!C:C,"Not found")</f>
        <v>Growth</v>
      </c>
    </row>
    <row r="25" spans="1:10">
      <c r="A25">
        <v>1024</v>
      </c>
      <c r="B25">
        <v>14</v>
      </c>
      <c r="C25" t="s">
        <v>8</v>
      </c>
      <c r="D25" t="s">
        <v>22</v>
      </c>
      <c r="E25" t="s">
        <v>23</v>
      </c>
      <c r="F25" s="1">
        <v>46308.269618055558</v>
      </c>
      <c r="G25" t="s">
        <v>24</v>
      </c>
      <c r="H25" t="str">
        <f t="shared" si="0"/>
        <v/>
      </c>
      <c r="I25" t="str">
        <f>_xlfn.XLOOKUP(B25,Clients!A:A,Clients!B:B,"Not found")</f>
        <v>Flash Point Bouldering</v>
      </c>
      <c r="J25" t="str">
        <f>_xlfn.XLOOKUP(B25,Clients!A:A,Clients!C:C,"Not found")</f>
        <v>Growth</v>
      </c>
    </row>
    <row r="26" spans="1:10">
      <c r="A26">
        <v>1025</v>
      </c>
      <c r="B26">
        <v>16</v>
      </c>
      <c r="C26" t="s">
        <v>3</v>
      </c>
      <c r="D26" t="s">
        <v>21</v>
      </c>
      <c r="E26" t="s">
        <v>20</v>
      </c>
      <c r="F26" s="1">
        <v>46149.936284722222</v>
      </c>
      <c r="G26" s="1">
        <v>46150.352951388886</v>
      </c>
      <c r="H26">
        <f t="shared" si="0"/>
        <v>10</v>
      </c>
      <c r="I26" t="str">
        <f>_xlfn.XLOOKUP(B26,Clients!A:A,Clients!B:B,"Not found")</f>
        <v>Pinch Point Climbing</v>
      </c>
      <c r="J26" t="str">
        <f>_xlfn.XLOOKUP(B26,Clients!A:A,Clients!C:C,"Not found")</f>
        <v>Growth</v>
      </c>
    </row>
    <row r="27" spans="1:10">
      <c r="A27">
        <v>1026</v>
      </c>
      <c r="B27">
        <v>16</v>
      </c>
      <c r="C27" t="s">
        <v>5</v>
      </c>
      <c r="D27" t="s">
        <v>19</v>
      </c>
      <c r="E27" t="s">
        <v>20</v>
      </c>
      <c r="F27" s="1">
        <v>46158.269618055558</v>
      </c>
      <c r="G27" s="1">
        <v>46160.769618055558</v>
      </c>
      <c r="H27">
        <f t="shared" si="0"/>
        <v>60</v>
      </c>
      <c r="I27" t="str">
        <f>_xlfn.XLOOKUP(B27,Clients!A:A,Clients!B:B,"Not found")</f>
        <v>Pinch Point Climbing</v>
      </c>
      <c r="J27" t="str">
        <f>_xlfn.XLOOKUP(B27,Clients!A:A,Clients!C:C,"Not found")</f>
        <v>Growth</v>
      </c>
    </row>
    <row r="28" spans="1:10">
      <c r="A28">
        <v>1027</v>
      </c>
      <c r="B28">
        <v>17</v>
      </c>
      <c r="C28" t="s">
        <v>7</v>
      </c>
      <c r="D28" t="s">
        <v>26</v>
      </c>
      <c r="E28" t="s">
        <v>25</v>
      </c>
      <c r="F28" s="1">
        <v>46315.102951388886</v>
      </c>
      <c r="G28" t="s">
        <v>24</v>
      </c>
      <c r="H28" t="str">
        <f t="shared" si="0"/>
        <v/>
      </c>
      <c r="I28" t="str">
        <f>_xlfn.XLOOKUP(B28,Clients!A:A,Clients!B:B,"Not found")</f>
        <v>Send Shed</v>
      </c>
      <c r="J28" t="str">
        <f>_xlfn.XLOOKUP(B28,Clients!A:A,Clients!C:C,"Not found")</f>
        <v>Starter</v>
      </c>
    </row>
    <row r="29" spans="1:10">
      <c r="A29">
        <v>1028</v>
      </c>
      <c r="B29">
        <v>18</v>
      </c>
      <c r="C29" t="s">
        <v>4</v>
      </c>
      <c r="D29" t="s">
        <v>22</v>
      </c>
      <c r="E29" t="s">
        <v>20</v>
      </c>
      <c r="F29" s="1">
        <v>46208.269618055558</v>
      </c>
      <c r="G29" s="1">
        <v>46209.102951388886</v>
      </c>
      <c r="H29">
        <f t="shared" si="0"/>
        <v>20</v>
      </c>
      <c r="I29" t="str">
        <f>_xlfn.XLOOKUP(B29,Clients!A:A,Clients!B:B,"Not found")</f>
        <v>Vertical Union</v>
      </c>
      <c r="J29" t="str">
        <f>_xlfn.XLOOKUP(B29,Clients!A:A,Clients!C:C,"Not found")</f>
        <v>Pro</v>
      </c>
    </row>
    <row r="30" spans="1:10">
      <c r="A30">
        <v>1029</v>
      </c>
      <c r="B30">
        <v>18</v>
      </c>
      <c r="C30" t="s">
        <v>6</v>
      </c>
      <c r="D30" t="s">
        <v>19</v>
      </c>
      <c r="E30" t="s">
        <v>20</v>
      </c>
      <c r="F30" s="1">
        <v>46287.436284722222</v>
      </c>
      <c r="G30" s="1">
        <v>46287.561284722222</v>
      </c>
      <c r="H30">
        <f t="shared" si="0"/>
        <v>3</v>
      </c>
      <c r="I30" t="str">
        <f>_xlfn.XLOOKUP(B30,Clients!A:A,Clients!B:B,"Not found")</f>
        <v>Vertical Union</v>
      </c>
      <c r="J30" t="str">
        <f>_xlfn.XLOOKUP(B30,Clients!A:A,Clients!C:C,"Not found")</f>
        <v>Pro</v>
      </c>
    </row>
    <row r="31" spans="1:10">
      <c r="A31">
        <v>1030</v>
      </c>
      <c r="B31">
        <v>19</v>
      </c>
      <c r="C31" t="s">
        <v>5</v>
      </c>
      <c r="D31" t="s">
        <v>22</v>
      </c>
      <c r="E31" t="s">
        <v>20</v>
      </c>
      <c r="F31" s="1">
        <v>46258.269618055558</v>
      </c>
      <c r="G31" s="1">
        <v>46259.769618055558</v>
      </c>
      <c r="H31">
        <f t="shared" si="0"/>
        <v>36</v>
      </c>
      <c r="I31" t="str">
        <f>_xlfn.XLOOKUP(B31,Clients!A:A,Clients!B:B,"Not found")</f>
        <v>Mantle Mill</v>
      </c>
      <c r="J31" t="str">
        <f>_xlfn.XLOOKUP(B31,Clients!A:A,Clients!C:C,"Not found")</f>
        <v>Growth</v>
      </c>
    </row>
    <row r="32" spans="1:10">
      <c r="A32">
        <v>1031</v>
      </c>
      <c r="B32">
        <v>21</v>
      </c>
      <c r="C32" t="s">
        <v>8</v>
      </c>
      <c r="D32" t="s">
        <v>26</v>
      </c>
      <c r="E32" t="s">
        <v>20</v>
      </c>
      <c r="F32" s="1">
        <v>46229.102951388886</v>
      </c>
      <c r="G32" s="1">
        <v>46229.769618055558</v>
      </c>
      <c r="H32">
        <f t="shared" si="0"/>
        <v>16</v>
      </c>
      <c r="I32" t="str">
        <f>_xlfn.XLOOKUP(B32,Clients!A:A,Clients!B:B,"Not found")</f>
        <v>Campus Board Co</v>
      </c>
      <c r="J32" t="str">
        <f>_xlfn.XLOOKUP(B32,Clients!A:A,Clients!C:C,"Not found")</f>
        <v>Growth</v>
      </c>
    </row>
    <row r="33" spans="1:10">
      <c r="A33">
        <v>1032</v>
      </c>
      <c r="B33">
        <v>22</v>
      </c>
      <c r="C33" t="s">
        <v>3</v>
      </c>
      <c r="D33" t="s">
        <v>22</v>
      </c>
      <c r="E33" t="s">
        <v>20</v>
      </c>
      <c r="F33" s="1">
        <v>46262.436284722222</v>
      </c>
      <c r="G33" s="1">
        <v>46263.686284722222</v>
      </c>
      <c r="H33">
        <f t="shared" si="0"/>
        <v>30</v>
      </c>
      <c r="I33" t="str">
        <f>_xlfn.XLOOKUP(B33,Clients!A:A,Clients!B:B,"Not found")</f>
        <v>Gneiss Climbing</v>
      </c>
      <c r="J33" t="str">
        <f>_xlfn.XLOOKUP(B33,Clients!A:A,Clients!C:C,"Not found")</f>
        <v>Pro</v>
      </c>
    </row>
    <row r="34" spans="1:10">
      <c r="A34">
        <v>1033</v>
      </c>
      <c r="B34">
        <v>22</v>
      </c>
      <c r="C34" t="s">
        <v>7</v>
      </c>
      <c r="D34" t="s">
        <v>22</v>
      </c>
      <c r="E34" t="s">
        <v>25</v>
      </c>
      <c r="F34" s="1">
        <v>46311.602951388886</v>
      </c>
      <c r="G34" t="s">
        <v>24</v>
      </c>
      <c r="H34" t="str">
        <f t="shared" si="0"/>
        <v/>
      </c>
      <c r="I34" t="str">
        <f>_xlfn.XLOOKUP(B34,Clients!A:A,Clients!B:B,"Not found")</f>
        <v>Gneiss Climbing</v>
      </c>
      <c r="J34" t="str">
        <f>_xlfn.XLOOKUP(B34,Clients!A:A,Clients!C:C,"Not found")</f>
        <v>Pro</v>
      </c>
    </row>
    <row r="35" spans="1:10">
      <c r="A35">
        <v>1034</v>
      </c>
      <c r="B35">
        <v>23</v>
      </c>
      <c r="C35" t="s">
        <v>6</v>
      </c>
      <c r="D35" t="s">
        <v>26</v>
      </c>
      <c r="E35" t="s">
        <v>20</v>
      </c>
      <c r="F35" s="1">
        <v>46283.269618055558</v>
      </c>
      <c r="G35" s="1">
        <v>46283.477951388886</v>
      </c>
      <c r="H35">
        <f t="shared" si="0"/>
        <v>5</v>
      </c>
      <c r="I35" t="str">
        <f>_xlfn.XLOOKUP(B35,Clients!A:A,Clients!B:B,"Not found")</f>
        <v>Smear Club</v>
      </c>
      <c r="J35" t="str">
        <f>_xlfn.XLOOKUP(B35,Clients!A:A,Clients!C:C,"Not found")</f>
        <v>Starter</v>
      </c>
    </row>
    <row r="36" spans="1:10">
      <c r="A36">
        <v>1035</v>
      </c>
      <c r="B36">
        <v>24</v>
      </c>
      <c r="C36" t="s">
        <v>4</v>
      </c>
      <c r="D36" t="s">
        <v>19</v>
      </c>
      <c r="E36" t="s">
        <v>20</v>
      </c>
      <c r="F36" s="1">
        <v>46274.936284722222</v>
      </c>
      <c r="G36" s="1">
        <v>46275.519618055558</v>
      </c>
      <c r="H36">
        <f t="shared" si="0"/>
        <v>14</v>
      </c>
      <c r="I36" t="str">
        <f>_xlfn.XLOOKUP(B36,Clients!A:A,Clients!B:B,"Not found")</f>
        <v>Rope Gun Climbing</v>
      </c>
      <c r="J36" t="str">
        <f>_xlfn.XLOOKUP(B36,Clients!A:A,Clients!C:C,"Not found")</f>
        <v>Growth</v>
      </c>
    </row>
    <row r="37" spans="1:10">
      <c r="A37">
        <v>1036</v>
      </c>
      <c r="B37">
        <v>26</v>
      </c>
      <c r="C37" t="s">
        <v>5</v>
      </c>
      <c r="D37" t="s">
        <v>21</v>
      </c>
      <c r="E37" t="s">
        <v>20</v>
      </c>
      <c r="F37" s="1">
        <v>46289.519618055558</v>
      </c>
      <c r="G37" s="1">
        <v>46289.894618055558</v>
      </c>
      <c r="H37">
        <f t="shared" si="0"/>
        <v>9</v>
      </c>
      <c r="I37" t="str">
        <f>_xlfn.XLOOKUP(B37,Clients!A:A,Clients!B:B,"Not found")</f>
        <v>Kneebar Bouldering</v>
      </c>
      <c r="J37" t="str">
        <f>_xlfn.XLOOKUP(B37,Clients!A:A,Clients!C:C,"Not found")</f>
        <v>Growth</v>
      </c>
    </row>
    <row r="38" spans="1:10">
      <c r="A38">
        <v>1037</v>
      </c>
      <c r="B38">
        <v>26</v>
      </c>
      <c r="C38" t="s">
        <v>8</v>
      </c>
      <c r="D38" t="s">
        <v>22</v>
      </c>
      <c r="E38" t="s">
        <v>25</v>
      </c>
      <c r="F38" s="1">
        <v>46313.269618055558</v>
      </c>
      <c r="G38" t="s">
        <v>24</v>
      </c>
      <c r="H38" t="str">
        <f t="shared" si="0"/>
        <v/>
      </c>
      <c r="I38" t="str">
        <f>_xlfn.XLOOKUP(B38,Clients!A:A,Clients!B:B,"Not found")</f>
        <v>Kneebar Bouldering</v>
      </c>
      <c r="J38" t="str">
        <f>_xlfn.XLOOKUP(B38,Clients!A:A,Clients!C:C,"Not found")</f>
        <v>Growth</v>
      </c>
    </row>
    <row r="39" spans="1:10">
      <c r="A39">
        <v>1038</v>
      </c>
      <c r="B39">
        <v>28</v>
      </c>
      <c r="C39" t="s">
        <v>7</v>
      </c>
      <c r="D39" t="s">
        <v>26</v>
      </c>
      <c r="E39" t="s">
        <v>20</v>
      </c>
      <c r="F39" s="1">
        <v>46170.769618055558</v>
      </c>
      <c r="G39" s="1">
        <v>46174.519618055558</v>
      </c>
      <c r="H39">
        <f t="shared" si="0"/>
        <v>90</v>
      </c>
      <c r="I39" t="str">
        <f>_xlfn.XLOOKUP(B39,Clients!A:A,Clients!B:B,"Not found")</f>
        <v>Peak Pursuit Climbing</v>
      </c>
      <c r="J39" t="str">
        <f>_xlfn.XLOOKUP(B39,Clients!A:A,Clients!C:C,"Not found")</f>
        <v>Pro</v>
      </c>
    </row>
    <row r="40" spans="1:10">
      <c r="A40">
        <v>1039</v>
      </c>
      <c r="B40">
        <v>28</v>
      </c>
      <c r="C40" t="s">
        <v>3</v>
      </c>
      <c r="D40" t="s">
        <v>22</v>
      </c>
      <c r="E40" t="s">
        <v>20</v>
      </c>
      <c r="F40" s="1">
        <v>46216.602951388886</v>
      </c>
      <c r="G40" s="1">
        <v>46217.686284722222</v>
      </c>
      <c r="H40">
        <f t="shared" si="0"/>
        <v>26</v>
      </c>
      <c r="I40" t="str">
        <f>_xlfn.XLOOKUP(B40,Clients!A:A,Clients!B:B,"Not found")</f>
        <v>Peak Pursuit Climbing</v>
      </c>
      <c r="J40" t="str">
        <f>_xlfn.XLOOKUP(B40,Clients!A:A,Clients!C:C,"Not found")</f>
        <v>Pro</v>
      </c>
    </row>
    <row r="41" spans="1:10">
      <c r="A41">
        <v>1040</v>
      </c>
      <c r="B41">
        <v>29</v>
      </c>
      <c r="C41" t="s">
        <v>6</v>
      </c>
      <c r="D41" t="s">
        <v>22</v>
      </c>
      <c r="E41" t="s">
        <v>20</v>
      </c>
      <c r="F41" s="1">
        <v>46245.769618055558</v>
      </c>
      <c r="G41" s="1">
        <v>46246.019618055558</v>
      </c>
      <c r="H41">
        <f t="shared" si="0"/>
        <v>6</v>
      </c>
      <c r="I41" t="str">
        <f>_xlfn.XLOOKUP(B41,Clients!A:A,Clients!B:B,"Not found")</f>
        <v>Bolt Line Bouldering</v>
      </c>
      <c r="J41" t="str">
        <f>_xlfn.XLOOKUP(B41,Clients!A:A,Clients!C:C,"Not found")</f>
        <v>Growth</v>
      </c>
    </row>
    <row r="42" spans="1:10">
      <c r="A42">
        <v>1041</v>
      </c>
      <c r="B42">
        <v>29</v>
      </c>
      <c r="C42" t="s">
        <v>4</v>
      </c>
      <c r="D42" t="s">
        <v>26</v>
      </c>
      <c r="E42" t="s">
        <v>23</v>
      </c>
      <c r="F42" s="1">
        <v>46309.102951388886</v>
      </c>
      <c r="G42" t="s">
        <v>24</v>
      </c>
      <c r="H42" t="str">
        <f t="shared" si="0"/>
        <v/>
      </c>
      <c r="I42" t="str">
        <f>_xlfn.XLOOKUP(B42,Clients!A:A,Clients!B:B,"Not found")</f>
        <v>Bolt Line Bouldering</v>
      </c>
      <c r="J42" t="str">
        <f>_xlfn.XLOOKUP(B42,Clients!A:A,Clients!C:C,"Not found")</f>
        <v>Growth</v>
      </c>
    </row>
    <row r="43" spans="1:10">
      <c r="A43">
        <v>1042</v>
      </c>
      <c r="B43">
        <v>11</v>
      </c>
      <c r="C43" t="s">
        <v>5</v>
      </c>
      <c r="D43" t="s">
        <v>19</v>
      </c>
      <c r="E43" t="s">
        <v>25</v>
      </c>
      <c r="F43" s="1">
        <v>46310.769618055558</v>
      </c>
      <c r="G43" t="s">
        <v>24</v>
      </c>
      <c r="H43" t="str">
        <f t="shared" si="0"/>
        <v/>
      </c>
      <c r="I43" t="str">
        <f>_xlfn.XLOOKUP(B43,Clients!A:A,Clients!B:B,"Not found")</f>
        <v>Jug Haus</v>
      </c>
      <c r="J43" t="str">
        <f>_xlfn.XLOOKUP(B43,Clients!A:A,Clients!C:C,"Not found")</f>
        <v>Growth</v>
      </c>
    </row>
    <row r="44" spans="1:10">
      <c r="A44">
        <v>1043</v>
      </c>
      <c r="B44">
        <v>19</v>
      </c>
      <c r="C44" t="s">
        <v>6</v>
      </c>
      <c r="D44" t="s">
        <v>21</v>
      </c>
      <c r="E44" t="s">
        <v>20</v>
      </c>
      <c r="F44" s="1">
        <v>46302.019618055558</v>
      </c>
      <c r="G44" s="1">
        <v>46302.102951388886</v>
      </c>
      <c r="H44">
        <f t="shared" si="0"/>
        <v>2</v>
      </c>
      <c r="I44" t="str">
        <f>_xlfn.XLOOKUP(B44,Clients!A:A,Clients!B:B,"Not found")</f>
        <v>Mantle Mill</v>
      </c>
      <c r="J44" t="str">
        <f>_xlfn.XLOOKUP(B44,Clients!A:A,Clients!C:C,"Not found")</f>
        <v>Growth</v>
      </c>
    </row>
    <row r="45" spans="1:10">
      <c r="A45">
        <v>1044</v>
      </c>
      <c r="B45">
        <v>21</v>
      </c>
      <c r="C45" t="s">
        <v>3</v>
      </c>
      <c r="D45" t="s">
        <v>26</v>
      </c>
      <c r="E45" t="s">
        <v>20</v>
      </c>
      <c r="F45" s="1">
        <v>46277.019618055558</v>
      </c>
      <c r="G45" s="1">
        <v>46278.686284722222</v>
      </c>
      <c r="H45">
        <f t="shared" si="0"/>
        <v>40</v>
      </c>
      <c r="I45" t="str">
        <f>_xlfn.XLOOKUP(B45,Clients!A:A,Clients!B:B,"Not found")</f>
        <v>Campus Board Co</v>
      </c>
      <c r="J45" t="str">
        <f>_xlfn.XLOOKUP(B45,Clients!A:A,Clients!C:C,"Not found")</f>
        <v>Growth</v>
      </c>
    </row>
    <row r="46" spans="1:10">
      <c r="A46">
        <v>1045</v>
      </c>
      <c r="B46">
        <v>24</v>
      </c>
      <c r="C46" t="s">
        <v>7</v>
      </c>
      <c r="D46" t="s">
        <v>22</v>
      </c>
      <c r="E46" t="s">
        <v>20</v>
      </c>
      <c r="F46" s="1">
        <v>46204.102951388886</v>
      </c>
      <c r="G46" s="1">
        <v>46205.019618055558</v>
      </c>
      <c r="H46">
        <f t="shared" si="0"/>
        <v>22</v>
      </c>
      <c r="I46" t="str">
        <f>_xlfn.XLOOKUP(B46,Clients!A:A,Clients!B:B,"Not found")</f>
        <v>Rope Gun Climbing</v>
      </c>
      <c r="J46" t="str">
        <f>_xlfn.XLOOKUP(B46,Clients!A:A,Clients!C:C,"Not found")</f>
        <v>Growth</v>
      </c>
    </row>
    <row r="47" spans="1:10">
      <c r="A47">
        <v>1046</v>
      </c>
      <c r="B47">
        <v>1</v>
      </c>
      <c r="C47" t="s">
        <v>8</v>
      </c>
      <c r="D47" t="s">
        <v>19</v>
      </c>
      <c r="E47" t="s">
        <v>25</v>
      </c>
      <c r="F47" s="1">
        <v>46316.60365740741</v>
      </c>
      <c r="G47" t="s">
        <v>24</v>
      </c>
      <c r="H47" t="str">
        <f t="shared" si="0"/>
        <v/>
      </c>
      <c r="I47" t="str">
        <f>_xlfn.XLOOKUP(B47,Clients!A:A,Clients!B:B,"Not found")</f>
        <v>Summit Bouldering</v>
      </c>
      <c r="J47" t="str">
        <f>_xlfn.XLOOKUP(B47,Clients!A:A,Clients!C:C,"Not found")</f>
        <v>Pro</v>
      </c>
    </row>
  </sheetData>
  <conditionalFormatting sqref="N13">
    <cfRule type="expression" dxfId="7" priority="2">
      <formula>AND(ISNUMBER(H2),H2&gt;48)</formula>
    </cfRule>
  </conditionalFormatting>
  <conditionalFormatting sqref="H2:H47">
    <cfRule type="expression" dxfId="6" priority="1">
      <formula>AND(ISNUMBER(H2),H2&gt;48)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D33D-98BE-4D0E-B42D-ADEDBBDA2DD5}">
  <dimension ref="A1:E30"/>
  <sheetViews>
    <sheetView workbookViewId="0">
      <selection sqref="A1:E30"/>
    </sheetView>
  </sheetViews>
  <sheetFormatPr defaultRowHeight="15"/>
  <cols>
    <col min="1" max="1" width="11.140625" bestFit="1" customWidth="1"/>
    <col min="2" max="2" width="24" bestFit="1" customWidth="1"/>
    <col min="3" max="3" width="11.42578125" bestFit="1" customWidth="1"/>
    <col min="4" max="4" width="14.42578125" bestFit="1" customWidth="1"/>
    <col min="5" max="5" width="8.85546875" bestFit="1" customWidth="1"/>
  </cols>
  <sheetData>
    <row r="1" spans="1:5">
      <c r="A1" t="s">
        <v>11</v>
      </c>
      <c r="B1" t="s">
        <v>27</v>
      </c>
      <c r="C1" t="s">
        <v>18</v>
      </c>
      <c r="D1" t="s">
        <v>28</v>
      </c>
      <c r="E1" t="s">
        <v>13</v>
      </c>
    </row>
    <row r="2" spans="1:5">
      <c r="A2">
        <v>1</v>
      </c>
      <c r="B2" t="s">
        <v>29</v>
      </c>
      <c r="C2" t="s">
        <v>30</v>
      </c>
      <c r="D2" s="2">
        <v>45336</v>
      </c>
      <c r="E2" t="s">
        <v>31</v>
      </c>
    </row>
    <row r="3" spans="1:5">
      <c r="A3">
        <v>2</v>
      </c>
      <c r="B3" t="s">
        <v>32</v>
      </c>
      <c r="C3" t="s">
        <v>33</v>
      </c>
      <c r="D3" s="2">
        <v>45415</v>
      </c>
      <c r="E3" t="s">
        <v>31</v>
      </c>
    </row>
    <row r="4" spans="1:5">
      <c r="A4">
        <v>3</v>
      </c>
      <c r="B4" t="s">
        <v>34</v>
      </c>
      <c r="C4" t="s">
        <v>35</v>
      </c>
      <c r="D4" s="2">
        <v>45677</v>
      </c>
      <c r="E4" t="s">
        <v>31</v>
      </c>
    </row>
    <row r="5" spans="1:5">
      <c r="A5">
        <v>4</v>
      </c>
      <c r="B5" t="s">
        <v>36</v>
      </c>
      <c r="C5" t="s">
        <v>30</v>
      </c>
      <c r="D5" s="2">
        <v>45238</v>
      </c>
      <c r="E5" t="s">
        <v>31</v>
      </c>
    </row>
    <row r="6" spans="1:5">
      <c r="A6">
        <v>5</v>
      </c>
      <c r="B6" t="s">
        <v>37</v>
      </c>
      <c r="C6" t="s">
        <v>33</v>
      </c>
      <c r="D6" s="2">
        <v>45823</v>
      </c>
      <c r="E6" t="s">
        <v>31</v>
      </c>
    </row>
    <row r="7" spans="1:5">
      <c r="A7">
        <v>6</v>
      </c>
      <c r="B7" t="s">
        <v>38</v>
      </c>
      <c r="C7" t="s">
        <v>30</v>
      </c>
      <c r="D7" s="2">
        <v>45526</v>
      </c>
      <c r="E7" t="s">
        <v>31</v>
      </c>
    </row>
    <row r="8" spans="1:5">
      <c r="A8">
        <v>7</v>
      </c>
      <c r="B8" t="s">
        <v>39</v>
      </c>
      <c r="C8" t="s">
        <v>35</v>
      </c>
      <c r="D8" s="2">
        <v>46266</v>
      </c>
      <c r="E8" t="s">
        <v>40</v>
      </c>
    </row>
    <row r="9" spans="1:5">
      <c r="A9">
        <v>8</v>
      </c>
      <c r="B9" t="s">
        <v>41</v>
      </c>
      <c r="C9" t="s">
        <v>33</v>
      </c>
      <c r="D9" s="2">
        <v>45628</v>
      </c>
      <c r="E9" t="s">
        <v>31</v>
      </c>
    </row>
    <row r="10" spans="1:5">
      <c r="A10">
        <v>9</v>
      </c>
      <c r="B10" t="s">
        <v>42</v>
      </c>
      <c r="C10" t="s">
        <v>35</v>
      </c>
      <c r="D10" s="2">
        <v>45727</v>
      </c>
      <c r="E10" t="s">
        <v>43</v>
      </c>
    </row>
    <row r="11" spans="1:5">
      <c r="A11">
        <v>10</v>
      </c>
      <c r="B11" t="s">
        <v>44</v>
      </c>
      <c r="C11" t="s">
        <v>30</v>
      </c>
      <c r="D11" s="2">
        <v>45199</v>
      </c>
      <c r="E11" t="s">
        <v>31</v>
      </c>
    </row>
    <row r="12" spans="1:5">
      <c r="A12">
        <v>11</v>
      </c>
      <c r="B12" t="s">
        <v>45</v>
      </c>
      <c r="C12" t="s">
        <v>33</v>
      </c>
      <c r="D12" s="2">
        <v>45845</v>
      </c>
      <c r="E12" t="s">
        <v>31</v>
      </c>
    </row>
    <row r="13" spans="1:5">
      <c r="A13">
        <v>12</v>
      </c>
      <c r="B13" t="s">
        <v>46</v>
      </c>
      <c r="C13" t="s">
        <v>35</v>
      </c>
      <c r="D13" s="2">
        <v>46253</v>
      </c>
      <c r="E13" t="s">
        <v>40</v>
      </c>
    </row>
    <row r="14" spans="1:5">
      <c r="A14">
        <v>13</v>
      </c>
      <c r="B14" t="s">
        <v>47</v>
      </c>
      <c r="C14" t="s">
        <v>30</v>
      </c>
      <c r="D14" s="2">
        <v>45296</v>
      </c>
      <c r="E14" t="s">
        <v>31</v>
      </c>
    </row>
    <row r="15" spans="1:5">
      <c r="A15">
        <v>14</v>
      </c>
      <c r="B15" t="s">
        <v>48</v>
      </c>
      <c r="C15" t="s">
        <v>33</v>
      </c>
      <c r="D15" s="2">
        <v>45715</v>
      </c>
      <c r="E15" t="s">
        <v>31</v>
      </c>
    </row>
    <row r="16" spans="1:5">
      <c r="A16">
        <v>15</v>
      </c>
      <c r="B16" t="s">
        <v>49</v>
      </c>
      <c r="C16" t="s">
        <v>35</v>
      </c>
      <c r="D16" s="2">
        <v>45940</v>
      </c>
      <c r="E16" t="s">
        <v>31</v>
      </c>
    </row>
    <row r="17" spans="1:5">
      <c r="A17">
        <v>16</v>
      </c>
      <c r="B17" t="s">
        <v>50</v>
      </c>
      <c r="C17" t="s">
        <v>33</v>
      </c>
      <c r="D17" s="2">
        <v>45461</v>
      </c>
      <c r="E17" t="s">
        <v>43</v>
      </c>
    </row>
    <row r="18" spans="1:5">
      <c r="A18">
        <v>17</v>
      </c>
      <c r="B18" t="s">
        <v>51</v>
      </c>
      <c r="C18" t="s">
        <v>35</v>
      </c>
      <c r="D18" s="2">
        <v>46290</v>
      </c>
      <c r="E18" t="s">
        <v>40</v>
      </c>
    </row>
    <row r="19" spans="1:5">
      <c r="A19">
        <v>18</v>
      </c>
      <c r="B19" t="s">
        <v>52</v>
      </c>
      <c r="C19" t="s">
        <v>30</v>
      </c>
      <c r="D19" s="2">
        <v>45274</v>
      </c>
      <c r="E19" t="s">
        <v>31</v>
      </c>
    </row>
    <row r="20" spans="1:5">
      <c r="A20">
        <v>19</v>
      </c>
      <c r="B20" t="s">
        <v>53</v>
      </c>
      <c r="C20" t="s">
        <v>33</v>
      </c>
      <c r="D20" s="2">
        <v>45751</v>
      </c>
      <c r="E20" t="s">
        <v>31</v>
      </c>
    </row>
    <row r="21" spans="1:5">
      <c r="A21">
        <v>20</v>
      </c>
      <c r="B21" t="s">
        <v>54</v>
      </c>
      <c r="C21" t="s">
        <v>35</v>
      </c>
      <c r="D21" s="2">
        <v>45899</v>
      </c>
      <c r="E21" t="s">
        <v>31</v>
      </c>
    </row>
    <row r="22" spans="1:5">
      <c r="A22">
        <v>21</v>
      </c>
      <c r="B22" t="s">
        <v>55</v>
      </c>
      <c r="C22" t="s">
        <v>33</v>
      </c>
      <c r="D22" s="2">
        <v>45586</v>
      </c>
      <c r="E22" t="s">
        <v>31</v>
      </c>
    </row>
    <row r="23" spans="1:5">
      <c r="A23">
        <v>22</v>
      </c>
      <c r="B23" t="s">
        <v>56</v>
      </c>
      <c r="C23" t="s">
        <v>30</v>
      </c>
      <c r="D23" s="2">
        <v>45391</v>
      </c>
      <c r="E23" t="s">
        <v>31</v>
      </c>
    </row>
    <row r="24" spans="1:5">
      <c r="A24">
        <v>23</v>
      </c>
      <c r="B24" t="s">
        <v>57</v>
      </c>
      <c r="C24" t="s">
        <v>35</v>
      </c>
      <c r="D24" s="2">
        <v>46217</v>
      </c>
      <c r="E24" t="s">
        <v>31</v>
      </c>
    </row>
    <row r="25" spans="1:5">
      <c r="A25">
        <v>24</v>
      </c>
      <c r="B25" t="s">
        <v>58</v>
      </c>
      <c r="C25" t="s">
        <v>33</v>
      </c>
      <c r="D25" s="2">
        <v>45800</v>
      </c>
      <c r="E25" t="s">
        <v>31</v>
      </c>
    </row>
    <row r="26" spans="1:5">
      <c r="A26">
        <v>25</v>
      </c>
      <c r="B26" t="s">
        <v>59</v>
      </c>
      <c r="C26" t="s">
        <v>35</v>
      </c>
      <c r="D26" s="2">
        <v>45963</v>
      </c>
      <c r="E26" t="s">
        <v>31</v>
      </c>
    </row>
    <row r="27" spans="1:5">
      <c r="A27">
        <v>26</v>
      </c>
      <c r="B27" t="s">
        <v>60</v>
      </c>
      <c r="C27" t="s">
        <v>33</v>
      </c>
      <c r="D27" s="2">
        <v>45551</v>
      </c>
      <c r="E27" t="s">
        <v>31</v>
      </c>
    </row>
    <row r="28" spans="1:5">
      <c r="A28">
        <v>27</v>
      </c>
      <c r="B28" t="s">
        <v>61</v>
      </c>
      <c r="C28" t="s">
        <v>35</v>
      </c>
      <c r="D28" s="2">
        <v>46296</v>
      </c>
      <c r="E28" t="s">
        <v>40</v>
      </c>
    </row>
    <row r="29" spans="1:5">
      <c r="A29">
        <v>28</v>
      </c>
      <c r="B29" t="s">
        <v>62</v>
      </c>
      <c r="C29" t="s">
        <v>30</v>
      </c>
      <c r="D29" s="2">
        <v>45226</v>
      </c>
      <c r="E29" t="s">
        <v>31</v>
      </c>
    </row>
    <row r="30" spans="1:5">
      <c r="A30">
        <v>29</v>
      </c>
      <c r="B30" t="s">
        <v>63</v>
      </c>
      <c r="C30" t="s">
        <v>33</v>
      </c>
      <c r="D30" s="2">
        <v>45912</v>
      </c>
      <c r="E30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2026-10-27T17:07:11Z</dcterms:created>
  <dcterms:modified xsi:type="dcterms:W3CDTF">2026-10-27T18:06:27Z</dcterms:modified>
  <cp:category/>
  <cp:contentStatus/>
</cp:coreProperties>
</file>